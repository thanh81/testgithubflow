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OSU - Classes\2020 Classes\BFIN 7221 Course Documents\7221 - AU - 2020\Classes\VBA\"/>
    </mc:Choice>
  </mc:AlternateContent>
  <bookViews>
    <workbookView xWindow="0" yWindow="0" windowWidth="28770" windowHeight="20070" tabRatio="737" activeTab="4"/>
  </bookViews>
  <sheets>
    <sheet name="If Else Statement" sheetId="4" r:id="rId1"/>
    <sheet name="Nested If Statement" sheetId="8" r:id="rId2"/>
    <sheet name="And..Or" sheetId="9" r:id="rId3"/>
    <sheet name="For Loop" sheetId="5" r:id="rId4"/>
    <sheet name="Financial Modeling" sheetId="6" r:id="rId5"/>
    <sheet name="Financial Modeling 2" sheetId="7" r:id="rId6"/>
  </sheets>
  <externalReferences>
    <externalReference r:id="rId7"/>
    <externalReference r:id="rId8"/>
  </externalReferences>
  <definedNames>
    <definedName name="BuyTypeOfDataPlanData" localSheetId="4">[1]Data!$B$2:$B$6</definedName>
    <definedName name="BuyTypeOfDataPlanData" localSheetId="5">[1]Data!$B$2:$B$6</definedName>
    <definedName name="BuyTypeOfDataPlanData">[2]Data!$B$2:$B$6</definedName>
    <definedName name="CostOfNonSmartPhone">'If Else Statement'!$B$6</definedName>
    <definedName name="CostOfPhone">'If Else Statement'!$B$5</definedName>
    <definedName name="DataAndUnlimited">And..Or!$B$6</definedName>
    <definedName name="DataOrUnlimited">And..Or!$B$5</definedName>
    <definedName name="DiscountForFiveAndAbove">'For Loop'!$B$7</definedName>
    <definedName name="DiscountForThirdAndFourth">'For Loop'!$B$6</definedName>
    <definedName name="NoTextPlan">'Nested If Statement'!$B$7</definedName>
    <definedName name="NumberOfPhones" localSheetId="4">[1]Data!$C$2:$C$10</definedName>
    <definedName name="NumberOfPhones" localSheetId="5">[1]Data!$C$2:$C$10</definedName>
    <definedName name="NumberOfPhones">[2]Data!$C$2:$C$10</definedName>
    <definedName name="OneThousandTextMessages">'Nested If Statement'!$B$6</definedName>
    <definedName name="PriceOfPhone">'For Loop'!$B$5</definedName>
    <definedName name="sdfsd3423">'Nested If Statement'!$F$5</definedName>
    <definedName name="TrueFalse" localSheetId="4">[1]Data!$A$2:$A$3</definedName>
    <definedName name="TrueFalse" localSheetId="5">[1]Data!$A$2:$A$3</definedName>
    <definedName name="TrueFalse">[2]Data!$A$2:$A$3</definedName>
    <definedName name="UnlimitedData">'Nested If Statement'!$B$5</definedName>
    <definedName name="UnlimitedTextMessages">'Nested If Statement'!$B$5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5" i="7" l="1"/>
  <c r="C15" i="7"/>
  <c r="D15" i="7"/>
  <c r="E15" i="7"/>
  <c r="F15" i="7"/>
  <c r="G15" i="7"/>
  <c r="B16" i="7"/>
  <c r="B12" i="7"/>
  <c r="C12" i="7"/>
  <c r="D12" i="7"/>
  <c r="E12" i="7"/>
  <c r="F12" i="7"/>
  <c r="G12" i="7"/>
  <c r="C13" i="7"/>
  <c r="C14" i="7" s="1"/>
  <c r="D13" i="7"/>
  <c r="E13" i="7"/>
  <c r="F13" i="7"/>
  <c r="G13" i="7"/>
  <c r="C15" i="6"/>
  <c r="H14" i="6"/>
  <c r="G14" i="6"/>
  <c r="F14" i="6"/>
  <c r="E14" i="6"/>
  <c r="D14" i="6"/>
  <c r="D13" i="6"/>
  <c r="E13" i="6" s="1"/>
  <c r="D11" i="9"/>
  <c r="C12" i="4"/>
  <c r="C12" i="8"/>
  <c r="D14" i="7" l="1"/>
  <c r="E14" i="7" s="1"/>
  <c r="F14" i="7" s="1"/>
  <c r="G14" i="7" s="1"/>
  <c r="G16" i="7" s="1"/>
  <c r="C16" i="7"/>
  <c r="D15" i="6"/>
  <c r="F13" i="6"/>
  <c r="E15" i="6"/>
  <c r="D16" i="7" l="1"/>
  <c r="B17" i="7" s="1"/>
  <c r="F16" i="7"/>
  <c r="E16" i="7"/>
  <c r="F15" i="6"/>
  <c r="G13" i="6"/>
  <c r="H13" i="6" l="1"/>
  <c r="H15" i="6" s="1"/>
  <c r="G15" i="6"/>
  <c r="C16" i="6" l="1"/>
</calcChain>
</file>

<file path=xl/comments1.xml><?xml version="1.0" encoding="utf-8"?>
<comments xmlns="http://schemas.openxmlformats.org/spreadsheetml/2006/main">
  <authors>
    <author>Daniel D. Oglevee</author>
  </authors>
  <commentList>
    <comment ref="B10" authorId="0" shapeId="0">
      <text>
        <r>
          <rPr>
            <b/>
            <sz val="9"/>
            <color indexed="81"/>
            <rFont val="Tahoma"/>
            <family val="2"/>
          </rPr>
          <t>Daniel D. Oglevee:</t>
        </r>
        <r>
          <rPr>
            <sz val="9"/>
            <color indexed="81"/>
            <rFont val="Tahoma"/>
            <family val="2"/>
          </rPr>
          <t xml:space="preserve">
Variable Name: NumberOfPhones</t>
        </r>
      </text>
    </comment>
  </commentList>
</comments>
</file>

<file path=xl/sharedStrings.xml><?xml version="1.0" encoding="utf-8"?>
<sst xmlns="http://schemas.openxmlformats.org/spreadsheetml/2006/main" count="79" uniqueCount="48">
  <si>
    <t>Cost of Phone</t>
  </si>
  <si>
    <t>Question</t>
  </si>
  <si>
    <t>Answer</t>
  </si>
  <si>
    <t>Cost</t>
  </si>
  <si>
    <t>Cost of Nonsmartphone</t>
  </si>
  <si>
    <t>Unlimited Text</t>
  </si>
  <si>
    <t>What type of text plan do you want?</t>
  </si>
  <si>
    <t>Datapackage</t>
  </si>
  <si>
    <t>Input</t>
  </si>
  <si>
    <t>Data Validation List</t>
  </si>
  <si>
    <t>Do you want a Dataplan and Unlimited Text Messages?</t>
  </si>
  <si>
    <t>TextPlan</t>
  </si>
  <si>
    <t>Function: TextPackage</t>
  </si>
  <si>
    <t>Function: DataPackageAndUnlimitedText</t>
  </si>
  <si>
    <t>Datapackage and Unlimited Text Messages</t>
  </si>
  <si>
    <t>Datapackage or Unlimited Text Messages</t>
  </si>
  <si>
    <t>Phone Discount: 5+</t>
  </si>
  <si>
    <t>How many phones do you want to purchase?</t>
  </si>
  <si>
    <t># of Phones</t>
  </si>
  <si>
    <t>Phone Discount: 3-4</t>
  </si>
  <si>
    <t>Total Cost</t>
  </si>
  <si>
    <t>Net Present Value</t>
  </si>
  <si>
    <t>General Discount Rate</t>
  </si>
  <si>
    <t>(in thousands of $)</t>
  </si>
  <si>
    <t>Inputs</t>
  </si>
  <si>
    <t>Period</t>
  </si>
  <si>
    <t>Current Investment</t>
  </si>
  <si>
    <t>Future Cash Flows</t>
  </si>
  <si>
    <t>Discount Rate</t>
  </si>
  <si>
    <t>Net Present Value of using Timeline</t>
  </si>
  <si>
    <t>Cumulative Discount Factor</t>
  </si>
  <si>
    <t>Cash Flows</t>
  </si>
  <si>
    <t>Present Value of Each Cash Flow</t>
  </si>
  <si>
    <t>Using Custom NPVWithVariableRate</t>
  </si>
  <si>
    <t>REAL AND INFLATION</t>
  </si>
  <si>
    <t>Inflation Rate</t>
  </si>
  <si>
    <t>Real Discount Rate</t>
  </si>
  <si>
    <t>Net Present Value using a Time Line</t>
  </si>
  <si>
    <t>Function: BuyPhoneCost</t>
  </si>
  <si>
    <t>Function: BuyPhoneCostUsingRange</t>
  </si>
  <si>
    <t>Do you want to buy a smartphone?</t>
  </si>
  <si>
    <t>Function: PhonePriceAfterDiscounts</t>
  </si>
  <si>
    <t>Yes</t>
  </si>
  <si>
    <t>No</t>
  </si>
  <si>
    <t>Unlimited Data</t>
  </si>
  <si>
    <t>4 Gigs</t>
  </si>
  <si>
    <t>No Data</t>
  </si>
  <si>
    <t>Cost of SmartPhone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</si>
</sst>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4" formatCode="0.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center"/>
    </xf>
    <xf numFmtId="44" fontId="0" fillId="2" borderId="1" xfId="1" applyFont="1" applyFill="1" applyBorder="1"/>
    <xf numFmtId="0" fontId="0" fillId="0" borderId="2" xfId="0" applyBorder="1"/>
    <xf numFmtId="0" fontId="4" fillId="0" borderId="0" xfId="0" applyFont="1" applyBorder="1"/>
    <xf numFmtId="9" fontId="0" fillId="2" borderId="1" xfId="2" applyFont="1" applyFill="1" applyBorder="1"/>
    <xf numFmtId="44" fontId="0" fillId="0" borderId="0" xfId="0" applyNumberFormat="1"/>
    <xf numFmtId="0" fontId="5" fillId="0" borderId="0" xfId="0" applyFont="1"/>
    <xf numFmtId="0" fontId="0" fillId="0" borderId="0" xfId="0" applyFill="1"/>
    <xf numFmtId="9" fontId="0" fillId="0" borderId="0" xfId="2" applyFont="1" applyFill="1"/>
    <xf numFmtId="44" fontId="0" fillId="2" borderId="0" xfId="1" applyFont="1" applyFill="1"/>
    <xf numFmtId="164" fontId="0" fillId="2" borderId="0" xfId="2" applyNumberFormat="1" applyFont="1" applyFill="1"/>
    <xf numFmtId="164" fontId="0" fillId="0" borderId="0" xfId="2" applyNumberFormat="1" applyFont="1"/>
    <xf numFmtId="44" fontId="0" fillId="0" borderId="0" xfId="1" applyFont="1"/>
    <xf numFmtId="44" fontId="0" fillId="3" borderId="0" xfId="1" applyFont="1" applyFill="1"/>
    <xf numFmtId="0" fontId="0" fillId="2" borderId="0" xfId="0" applyFill="1"/>
    <xf numFmtId="44" fontId="0" fillId="3" borderId="0" xfId="0" applyNumberFormat="1" applyFill="1"/>
    <xf numFmtId="0" fontId="0" fillId="0" borderId="0" xfId="0" applyBorder="1"/>
    <xf numFmtId="0" fontId="0" fillId="0" borderId="0" xfId="0" applyBorder="1" applyAlignment="1">
      <alignment horizontal="right"/>
    </xf>
    <xf numFmtId="44" fontId="0" fillId="2" borderId="1" xfId="1" applyFont="1" applyFill="1" applyBorder="1" applyAlignment="1">
      <alignment horizontal="center"/>
    </xf>
    <xf numFmtId="44" fontId="0" fillId="4" borderId="0" xfId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Border="1"/>
    <xf numFmtId="0" fontId="0" fillId="4" borderId="0" xfId="0" applyFill="1" applyBorder="1"/>
    <xf numFmtId="0" fontId="5" fillId="0" borderId="2" xfId="0" applyFont="1" applyBorder="1"/>
    <xf numFmtId="0" fontId="5" fillId="0" borderId="2" xfId="0" applyFont="1" applyBorder="1" applyAlignment="1">
      <alignment horizontal="center"/>
    </xf>
    <xf numFmtId="0" fontId="5" fillId="4" borderId="0" xfId="0" applyFont="1" applyFill="1" applyBorder="1"/>
    <xf numFmtId="0" fontId="6" fillId="0" borderId="0" xfId="0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glevee_3/AppData/Local/Microsoft/Windows/Temporary%20Internet%20Files/Content.Outlook/V2X77KTQ/VBA%20(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OSU%20-%20Classes/2012%20Classes/BFIN%20849%20Course%20Documents/Classes/Class%2004/VB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mple Functions"/>
      <sheetName val="Financial Modeling"/>
      <sheetName val="Financial Modeling 2"/>
      <sheetName val="Data"/>
    </sheetNames>
    <sheetDataSet>
      <sheetData sheetId="0" refreshError="1"/>
      <sheetData sheetId="1" refreshError="1"/>
      <sheetData sheetId="2" refreshError="1"/>
      <sheetData sheetId="3">
        <row r="2">
          <cell r="A2" t="b">
            <v>1</v>
          </cell>
          <cell r="B2" t="str">
            <v>Unlimited</v>
          </cell>
          <cell r="C2">
            <v>1</v>
          </cell>
        </row>
        <row r="3">
          <cell r="A3" t="b">
            <v>0</v>
          </cell>
          <cell r="B3">
            <v>1000</v>
          </cell>
          <cell r="C3">
            <v>2</v>
          </cell>
        </row>
        <row r="4">
          <cell r="B4">
            <v>50</v>
          </cell>
          <cell r="C4">
            <v>3</v>
          </cell>
        </row>
        <row r="5">
          <cell r="B5">
            <v>30</v>
          </cell>
          <cell r="C5">
            <v>4</v>
          </cell>
        </row>
        <row r="6">
          <cell r="B6">
            <v>20</v>
          </cell>
          <cell r="C6">
            <v>5</v>
          </cell>
        </row>
        <row r="7">
          <cell r="C7">
            <v>6</v>
          </cell>
        </row>
        <row r="8">
          <cell r="C8">
            <v>7</v>
          </cell>
        </row>
        <row r="9">
          <cell r="C9">
            <v>8</v>
          </cell>
        </row>
        <row r="10">
          <cell r="C10">
            <v>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imple Functions"/>
      <sheetName val="Financial Modeling"/>
      <sheetName val="Financial Modeling 2"/>
      <sheetName val="Data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A2" t="b">
            <v>1</v>
          </cell>
          <cell r="B2" t="str">
            <v>Unlimited</v>
          </cell>
          <cell r="C2">
            <v>1</v>
          </cell>
        </row>
        <row r="3">
          <cell r="A3" t="b">
            <v>0</v>
          </cell>
          <cell r="B3">
            <v>1000</v>
          </cell>
          <cell r="C3">
            <v>2</v>
          </cell>
        </row>
        <row r="4">
          <cell r="B4">
            <v>50</v>
          </cell>
          <cell r="C4">
            <v>3</v>
          </cell>
        </row>
        <row r="5">
          <cell r="B5">
            <v>30</v>
          </cell>
          <cell r="C5">
            <v>4</v>
          </cell>
        </row>
        <row r="6">
          <cell r="B6">
            <v>20</v>
          </cell>
          <cell r="C6">
            <v>5</v>
          </cell>
        </row>
        <row r="7">
          <cell r="C7">
            <v>6</v>
          </cell>
        </row>
        <row r="8">
          <cell r="C8">
            <v>7</v>
          </cell>
        </row>
        <row r="9">
          <cell r="C9">
            <v>8</v>
          </cell>
        </row>
        <row r="10">
          <cell r="C10">
            <v>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G14"/>
  <sheetViews>
    <sheetView showGridLines="0" workbookViewId="0">
      <selection activeCell="B6" sqref="B6"/>
    </sheetView>
  </sheetViews>
  <sheetFormatPr defaultRowHeight="15" x14ac:dyDescent="0.25"/>
  <cols>
    <col min="1" max="1" width="49.28515625" customWidth="1"/>
    <col min="2" max="2" width="12.140625" style="1" bestFit="1" customWidth="1"/>
    <col min="5" max="5" width="9.5703125" bestFit="1" customWidth="1"/>
    <col min="7" max="7" width="18.28515625" bestFit="1" customWidth="1"/>
  </cols>
  <sheetData>
    <row r="2" spans="1:7" x14ac:dyDescent="0.25">
      <c r="G2" s="17"/>
    </row>
    <row r="3" spans="1:7" x14ac:dyDescent="0.25">
      <c r="G3" s="17"/>
    </row>
    <row r="4" spans="1:7" x14ac:dyDescent="0.25">
      <c r="B4" s="22" t="s">
        <v>8</v>
      </c>
      <c r="G4" s="23"/>
    </row>
    <row r="5" spans="1:7" x14ac:dyDescent="0.25">
      <c r="B5" s="19">
        <v>1000</v>
      </c>
      <c r="C5" t="s">
        <v>47</v>
      </c>
      <c r="G5" s="18"/>
    </row>
    <row r="6" spans="1:7" x14ac:dyDescent="0.25">
      <c r="B6" s="19">
        <v>100</v>
      </c>
      <c r="C6" t="s">
        <v>4</v>
      </c>
      <c r="G6" s="18"/>
    </row>
    <row r="7" spans="1:7" x14ac:dyDescent="0.25">
      <c r="B7" s="20"/>
      <c r="G7" s="17"/>
    </row>
    <row r="8" spans="1:7" x14ac:dyDescent="0.25">
      <c r="A8" s="4" t="s">
        <v>38</v>
      </c>
      <c r="B8" s="20"/>
      <c r="G8" s="17"/>
    </row>
    <row r="9" spans="1:7" x14ac:dyDescent="0.25">
      <c r="A9" s="4" t="s">
        <v>39</v>
      </c>
      <c r="B9" s="20"/>
      <c r="G9" s="17"/>
    </row>
    <row r="10" spans="1:7" x14ac:dyDescent="0.25">
      <c r="G10" s="17"/>
    </row>
    <row r="11" spans="1:7" x14ac:dyDescent="0.25">
      <c r="A11" s="25" t="s">
        <v>1</v>
      </c>
      <c r="B11" s="26" t="s">
        <v>2</v>
      </c>
      <c r="C11" s="25" t="s">
        <v>3</v>
      </c>
      <c r="G11" s="17"/>
    </row>
    <row r="12" spans="1:7" x14ac:dyDescent="0.25">
      <c r="A12" t="s">
        <v>40</v>
      </c>
      <c r="B12" t="s">
        <v>42</v>
      </c>
      <c r="C12" t="e">
        <f ca="1">BuyPhoneCost(D12)</f>
        <v>#NAME?</v>
      </c>
      <c r="D12" t="b">
        <v>1</v>
      </c>
    </row>
    <row r="13" spans="1:7" x14ac:dyDescent="0.25">
      <c r="A13" t="s">
        <v>40</v>
      </c>
      <c r="B13" t="s">
        <v>43</v>
      </c>
    </row>
    <row r="14" spans="1:7" x14ac:dyDescent="0.25">
      <c r="A14" t="s">
        <v>40</v>
      </c>
      <c r="B14"/>
    </row>
  </sheetData>
  <dataValidations count="2">
    <dataValidation type="list" allowBlank="1" showInputMessage="1" showErrorMessage="1" sqref="B12:B13">
      <formula1>"Yes,No"</formula1>
    </dataValidation>
    <dataValidation type="list" allowBlank="1" showInputMessage="1" showErrorMessage="1" sqref="D12">
      <formula1>"True,False"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F18"/>
  <sheetViews>
    <sheetView showGridLines="0" workbookViewId="0">
      <selection activeCell="B5" sqref="B5"/>
    </sheetView>
  </sheetViews>
  <sheetFormatPr defaultRowHeight="15" x14ac:dyDescent="0.25"/>
  <cols>
    <col min="1" max="1" width="49.28515625" customWidth="1"/>
    <col min="2" max="2" width="14.42578125" style="1" bestFit="1" customWidth="1"/>
    <col min="5" max="5" width="9.5703125" bestFit="1" customWidth="1"/>
    <col min="6" max="7" width="18.28515625" bestFit="1" customWidth="1"/>
  </cols>
  <sheetData>
    <row r="4" spans="1:6" x14ac:dyDescent="0.25">
      <c r="B4" s="22" t="s">
        <v>8</v>
      </c>
      <c r="C4" s="24"/>
      <c r="D4" s="24"/>
      <c r="E4" s="24"/>
      <c r="F4" s="7" t="s">
        <v>9</v>
      </c>
    </row>
    <row r="5" spans="1:6" x14ac:dyDescent="0.25">
      <c r="B5" s="19">
        <v>70</v>
      </c>
      <c r="C5" t="s">
        <v>44</v>
      </c>
      <c r="F5" t="s">
        <v>44</v>
      </c>
    </row>
    <row r="6" spans="1:6" x14ac:dyDescent="0.25">
      <c r="B6" s="19">
        <v>20</v>
      </c>
      <c r="C6" t="s">
        <v>45</v>
      </c>
      <c r="F6" t="s">
        <v>45</v>
      </c>
    </row>
    <row r="7" spans="1:6" x14ac:dyDescent="0.25">
      <c r="B7" s="19">
        <v>0</v>
      </c>
      <c r="C7" t="s">
        <v>46</v>
      </c>
      <c r="F7" t="s">
        <v>46</v>
      </c>
    </row>
    <row r="9" spans="1:6" x14ac:dyDescent="0.25">
      <c r="A9" s="4" t="s">
        <v>12</v>
      </c>
    </row>
    <row r="10" spans="1:6" x14ac:dyDescent="0.25">
      <c r="A10" s="4"/>
      <c r="D10" s="24"/>
      <c r="E10" s="24"/>
      <c r="F10" s="24"/>
    </row>
    <row r="11" spans="1:6" s="7" customFormat="1" x14ac:dyDescent="0.25">
      <c r="A11" s="25" t="s">
        <v>1</v>
      </c>
      <c r="B11" s="26" t="s">
        <v>11</v>
      </c>
      <c r="C11" s="25" t="s">
        <v>3</v>
      </c>
      <c r="D11" s="27"/>
      <c r="E11" s="27"/>
      <c r="F11" s="27"/>
    </row>
    <row r="12" spans="1:6" x14ac:dyDescent="0.25">
      <c r="A12" t="s">
        <v>6</v>
      </c>
      <c r="B12" s="1" t="s">
        <v>46</v>
      </c>
      <c r="C12" t="e">
        <f ca="1">DataCost(B12)</f>
        <v>#NAME?</v>
      </c>
    </row>
    <row r="13" spans="1:6" x14ac:dyDescent="0.25">
      <c r="A13" t="s">
        <v>6</v>
      </c>
    </row>
    <row r="16" spans="1:6" x14ac:dyDescent="0.25">
      <c r="B16" s="21"/>
      <c r="C16" s="17"/>
    </row>
    <row r="18" spans="1:4" x14ac:dyDescent="0.25">
      <c r="A18" s="17"/>
      <c r="D18" s="17"/>
    </row>
  </sheetData>
  <dataValidations count="1">
    <dataValidation type="list" allowBlank="1" showInputMessage="1" showErrorMessage="1" sqref="B12:B13">
      <formula1>$F$5:$F$7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G11"/>
  <sheetViews>
    <sheetView showGridLines="0" workbookViewId="0">
      <selection activeCell="B6" sqref="B6"/>
    </sheetView>
  </sheetViews>
  <sheetFormatPr defaultRowHeight="15" x14ac:dyDescent="0.25"/>
  <cols>
    <col min="1" max="1" width="49.28515625" customWidth="1"/>
    <col min="2" max="2" width="12.140625" style="1" bestFit="1" customWidth="1"/>
    <col min="3" max="3" width="17.140625" customWidth="1"/>
    <col min="5" max="5" width="9.5703125" bestFit="1" customWidth="1"/>
    <col min="7" max="7" width="18.28515625" style="17" bestFit="1" customWidth="1"/>
  </cols>
  <sheetData>
    <row r="4" spans="1:7" x14ac:dyDescent="0.25">
      <c r="B4" s="22" t="s">
        <v>8</v>
      </c>
      <c r="C4" s="24"/>
      <c r="D4" s="24"/>
      <c r="E4" s="24"/>
      <c r="F4" s="24"/>
      <c r="G4" s="23"/>
    </row>
    <row r="5" spans="1:7" x14ac:dyDescent="0.25">
      <c r="B5" s="19">
        <v>30</v>
      </c>
      <c r="C5" t="s">
        <v>15</v>
      </c>
      <c r="G5" s="18"/>
    </row>
    <row r="6" spans="1:7" x14ac:dyDescent="0.25">
      <c r="B6" s="19">
        <v>50</v>
      </c>
      <c r="C6" t="s">
        <v>14</v>
      </c>
      <c r="G6" s="18"/>
    </row>
    <row r="7" spans="1:7" x14ac:dyDescent="0.25">
      <c r="B7" s="20"/>
      <c r="C7" s="24"/>
      <c r="D7" s="24"/>
      <c r="E7" s="24"/>
      <c r="F7" s="24"/>
      <c r="G7" s="18"/>
    </row>
    <row r="8" spans="1:7" x14ac:dyDescent="0.25">
      <c r="A8" s="4" t="s">
        <v>13</v>
      </c>
    </row>
    <row r="10" spans="1:7" x14ac:dyDescent="0.25">
      <c r="A10" s="25" t="s">
        <v>1</v>
      </c>
      <c r="B10" s="26" t="s">
        <v>7</v>
      </c>
      <c r="C10" s="25" t="s">
        <v>5</v>
      </c>
      <c r="D10" s="25" t="s">
        <v>3</v>
      </c>
    </row>
    <row r="11" spans="1:7" x14ac:dyDescent="0.25">
      <c r="A11" t="s">
        <v>10</v>
      </c>
      <c r="B11" s="20" t="b">
        <v>1</v>
      </c>
      <c r="C11" t="b">
        <v>1</v>
      </c>
      <c r="D11" t="e">
        <f ca="1">DataPlanAndUnlimitedText(B11,C11)</f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4:H15"/>
  <sheetViews>
    <sheetView showGridLines="0" workbookViewId="0">
      <selection activeCell="B5" sqref="B5"/>
    </sheetView>
  </sheetViews>
  <sheetFormatPr defaultRowHeight="15" x14ac:dyDescent="0.25"/>
  <cols>
    <col min="1" max="1" width="49.28515625" customWidth="1"/>
    <col min="2" max="2" width="11.28515625" bestFit="1" customWidth="1"/>
    <col min="3" max="3" width="7.85546875" customWidth="1"/>
    <col min="6" max="6" width="9.5703125" bestFit="1" customWidth="1"/>
  </cols>
  <sheetData>
    <row r="4" spans="1:8" x14ac:dyDescent="0.25">
      <c r="B4" s="7" t="s">
        <v>8</v>
      </c>
    </row>
    <row r="5" spans="1:8" x14ac:dyDescent="0.25">
      <c r="B5" s="2">
        <v>700</v>
      </c>
      <c r="C5" t="s">
        <v>0</v>
      </c>
      <c r="H5" s="1"/>
    </row>
    <row r="6" spans="1:8" x14ac:dyDescent="0.25">
      <c r="B6" s="5">
        <v>0.1</v>
      </c>
      <c r="C6" t="s">
        <v>19</v>
      </c>
      <c r="H6" s="1"/>
    </row>
    <row r="7" spans="1:8" x14ac:dyDescent="0.25">
      <c r="B7" s="5">
        <v>0.15</v>
      </c>
      <c r="C7" t="s">
        <v>16</v>
      </c>
      <c r="H7" s="1"/>
    </row>
    <row r="9" spans="1:8" x14ac:dyDescent="0.25">
      <c r="A9" s="28" t="s">
        <v>41</v>
      </c>
    </row>
    <row r="10" spans="1:8" x14ac:dyDescent="0.25">
      <c r="A10" s="25" t="s">
        <v>1</v>
      </c>
      <c r="B10" s="25" t="s">
        <v>18</v>
      </c>
      <c r="C10" s="25"/>
      <c r="D10" s="25" t="s">
        <v>20</v>
      </c>
    </row>
    <row r="11" spans="1:8" x14ac:dyDescent="0.25">
      <c r="A11" t="s">
        <v>17</v>
      </c>
      <c r="B11">
        <v>5</v>
      </c>
      <c r="D11" s="6"/>
    </row>
    <row r="12" spans="1:8" x14ac:dyDescent="0.25">
      <c r="D12" s="6"/>
    </row>
    <row r="13" spans="1:8" x14ac:dyDescent="0.25">
      <c r="D13" s="6"/>
    </row>
    <row r="14" spans="1:8" x14ac:dyDescent="0.25">
      <c r="D14" s="6"/>
    </row>
    <row r="15" spans="1:8" x14ac:dyDescent="0.25">
      <c r="A15" t="s">
        <v>17</v>
      </c>
      <c r="B15">
        <v>5</v>
      </c>
      <c r="D15" s="13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2"/>
  <sheetViews>
    <sheetView tabSelected="1" workbookViewId="0">
      <selection activeCell="C22" sqref="C22"/>
    </sheetView>
  </sheetViews>
  <sheetFormatPr defaultRowHeight="15" x14ac:dyDescent="0.25"/>
  <cols>
    <col min="1" max="1" width="33.5703125" bestFit="1" customWidth="1"/>
    <col min="3" max="3" width="9.7109375" bestFit="1" customWidth="1"/>
  </cols>
  <sheetData>
    <row r="1" spans="1:8" x14ac:dyDescent="0.25">
      <c r="A1" t="s">
        <v>21</v>
      </c>
      <c r="D1" t="s">
        <v>22</v>
      </c>
    </row>
    <row r="2" spans="1:8" x14ac:dyDescent="0.25">
      <c r="A2" t="s">
        <v>23</v>
      </c>
    </row>
    <row r="4" spans="1:8" x14ac:dyDescent="0.25">
      <c r="A4" s="7" t="s">
        <v>24</v>
      </c>
    </row>
    <row r="5" spans="1:8" x14ac:dyDescent="0.25">
      <c r="A5" s="8"/>
      <c r="B5" s="8"/>
      <c r="C5" s="9"/>
    </row>
    <row r="6" spans="1:8" x14ac:dyDescent="0.25">
      <c r="A6" s="3" t="s">
        <v>25</v>
      </c>
      <c r="B6" s="3"/>
      <c r="C6" s="3">
        <v>0</v>
      </c>
      <c r="D6" s="3">
        <v>1</v>
      </c>
      <c r="E6" s="3">
        <v>2</v>
      </c>
      <c r="F6" s="3">
        <v>3</v>
      </c>
      <c r="G6" s="3">
        <v>4</v>
      </c>
      <c r="H6" s="3">
        <v>5</v>
      </c>
    </row>
    <row r="7" spans="1:8" x14ac:dyDescent="0.25">
      <c r="A7" t="s">
        <v>26</v>
      </c>
      <c r="C7" s="10">
        <v>-100</v>
      </c>
    </row>
    <row r="8" spans="1:8" x14ac:dyDescent="0.25">
      <c r="A8" t="s">
        <v>27</v>
      </c>
      <c r="D8" s="10">
        <v>21</v>
      </c>
      <c r="E8" s="10">
        <v>34</v>
      </c>
      <c r="F8" s="10">
        <v>40</v>
      </c>
      <c r="G8" s="10">
        <v>33</v>
      </c>
      <c r="H8" s="10">
        <v>17</v>
      </c>
    </row>
    <row r="9" spans="1:8" x14ac:dyDescent="0.25">
      <c r="A9" t="s">
        <v>28</v>
      </c>
      <c r="D9" s="11">
        <v>0.08</v>
      </c>
      <c r="E9" s="11">
        <v>7.5999999999999998E-2</v>
      </c>
      <c r="F9" s="11">
        <v>7.2999999999999995E-2</v>
      </c>
      <c r="G9" s="11">
        <v>7.0000000000000007E-2</v>
      </c>
      <c r="H9" s="11">
        <v>7.0000000000000007E-2</v>
      </c>
    </row>
    <row r="11" spans="1:8" x14ac:dyDescent="0.25">
      <c r="A11" t="s">
        <v>29</v>
      </c>
    </row>
    <row r="12" spans="1:8" x14ac:dyDescent="0.25">
      <c r="A12" s="3" t="s">
        <v>25</v>
      </c>
      <c r="B12" s="3"/>
      <c r="C12" s="3">
        <v>0</v>
      </c>
      <c r="D12" s="3">
        <v>1</v>
      </c>
      <c r="E12" s="3">
        <v>2</v>
      </c>
      <c r="F12" s="3">
        <v>3</v>
      </c>
      <c r="G12" s="3">
        <v>4</v>
      </c>
      <c r="H12" s="3">
        <v>5</v>
      </c>
    </row>
    <row r="13" spans="1:8" x14ac:dyDescent="0.25">
      <c r="A13" t="s">
        <v>30</v>
      </c>
      <c r="C13">
        <v>0</v>
      </c>
      <c r="D13" s="12">
        <f>(1+C13)*(1+D9)-1</f>
        <v>8.0000000000000071E-2</v>
      </c>
      <c r="E13" s="12">
        <f t="shared" ref="E13:H13" si="0">(1+D13)*(1+E9)-1</f>
        <v>0.16208000000000022</v>
      </c>
      <c r="F13" s="12">
        <f t="shared" si="0"/>
        <v>0.2469118400000001</v>
      </c>
      <c r="G13" s="12">
        <f t="shared" si="0"/>
        <v>0.33419566880000029</v>
      </c>
      <c r="H13" s="12">
        <f t="shared" si="0"/>
        <v>0.42758936561600036</v>
      </c>
    </row>
    <row r="14" spans="1:8" x14ac:dyDescent="0.25">
      <c r="A14" t="s">
        <v>31</v>
      </c>
      <c r="C14" s="13">
        <v>-100</v>
      </c>
      <c r="D14" s="6">
        <f>D8</f>
        <v>21</v>
      </c>
      <c r="E14" s="6">
        <f t="shared" ref="E14:H14" si="1">E8</f>
        <v>34</v>
      </c>
      <c r="F14" s="6">
        <f t="shared" si="1"/>
        <v>40</v>
      </c>
      <c r="G14" s="6">
        <f t="shared" si="1"/>
        <v>33</v>
      </c>
      <c r="H14" s="6">
        <f t="shared" si="1"/>
        <v>17</v>
      </c>
    </row>
    <row r="15" spans="1:8" x14ac:dyDescent="0.25">
      <c r="A15" t="s">
        <v>32</v>
      </c>
      <c r="C15" s="13">
        <f>C14</f>
        <v>-100</v>
      </c>
      <c r="D15" s="13">
        <f>D14/(1+D13)</f>
        <v>19.444444444444443</v>
      </c>
      <c r="E15" s="13">
        <f t="shared" ref="E15:H15" si="2">E14/(1+E13)</f>
        <v>29.257882417733715</v>
      </c>
      <c r="F15" s="13">
        <f t="shared" si="2"/>
        <v>32.079252691994647</v>
      </c>
      <c r="G15" s="13">
        <f t="shared" si="2"/>
        <v>24.734003243827644</v>
      </c>
      <c r="H15" s="13">
        <f t="shared" si="2"/>
        <v>11.90818621198159</v>
      </c>
    </row>
    <row r="16" spans="1:8" x14ac:dyDescent="0.25">
      <c r="A16" t="s">
        <v>21</v>
      </c>
      <c r="C16" s="14">
        <f>SUM(C15:H15)</f>
        <v>17.423769009982035</v>
      </c>
    </row>
    <row r="22" spans="1:3" x14ac:dyDescent="0.25">
      <c r="A22" t="s">
        <v>33</v>
      </c>
      <c r="C22" s="14"/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9"/>
  <sheetViews>
    <sheetView workbookViewId="0">
      <selection activeCell="G16" sqref="G16"/>
    </sheetView>
  </sheetViews>
  <sheetFormatPr defaultRowHeight="15" x14ac:dyDescent="0.25"/>
  <cols>
    <col min="1" max="1" width="33.85546875" bestFit="1" customWidth="1"/>
    <col min="2" max="2" width="9.7109375" bestFit="1" customWidth="1"/>
    <col min="3" max="7" width="9.28515625" bestFit="1" customWidth="1"/>
  </cols>
  <sheetData>
    <row r="1" spans="1:7" x14ac:dyDescent="0.25">
      <c r="A1" t="s">
        <v>34</v>
      </c>
      <c r="D1" t="s">
        <v>22</v>
      </c>
    </row>
    <row r="2" spans="1:7" x14ac:dyDescent="0.25">
      <c r="A2" t="s">
        <v>23</v>
      </c>
    </row>
    <row r="4" spans="1:7" x14ac:dyDescent="0.25">
      <c r="A4" t="s">
        <v>24</v>
      </c>
    </row>
    <row r="5" spans="1:7" x14ac:dyDescent="0.25">
      <c r="A5" t="s">
        <v>25</v>
      </c>
      <c r="B5" s="3">
        <v>0</v>
      </c>
      <c r="C5" s="3">
        <v>1</v>
      </c>
      <c r="D5" s="3">
        <v>2</v>
      </c>
      <c r="E5" s="3">
        <v>3</v>
      </c>
      <c r="F5" s="3">
        <v>4</v>
      </c>
      <c r="G5" s="3">
        <v>5</v>
      </c>
    </row>
    <row r="6" spans="1:7" x14ac:dyDescent="0.25">
      <c r="A6" t="s">
        <v>26</v>
      </c>
      <c r="B6" s="15">
        <v>-100</v>
      </c>
    </row>
    <row r="7" spans="1:7" x14ac:dyDescent="0.25">
      <c r="A7" t="s">
        <v>27</v>
      </c>
      <c r="C7" s="15">
        <v>21</v>
      </c>
      <c r="D7" s="15">
        <v>34</v>
      </c>
      <c r="E7" s="15">
        <v>40</v>
      </c>
      <c r="F7" s="15">
        <v>33</v>
      </c>
      <c r="G7" s="15">
        <v>17</v>
      </c>
    </row>
    <row r="8" spans="1:7" x14ac:dyDescent="0.25">
      <c r="A8" t="s">
        <v>35</v>
      </c>
      <c r="C8" s="11">
        <v>0.03</v>
      </c>
      <c r="D8" s="11">
        <v>2.8000000000000001E-2</v>
      </c>
      <c r="E8" s="11">
        <v>2.5000000000000001E-2</v>
      </c>
      <c r="F8" s="11">
        <v>2.1999999999999999E-2</v>
      </c>
      <c r="G8" s="11">
        <v>0.02</v>
      </c>
    </row>
    <row r="9" spans="1:7" x14ac:dyDescent="0.25">
      <c r="A9" t="s">
        <v>36</v>
      </c>
      <c r="C9" s="11">
        <v>0.05</v>
      </c>
      <c r="D9" s="11">
        <v>5.5E-2</v>
      </c>
      <c r="E9" s="11">
        <v>0.06</v>
      </c>
      <c r="F9" s="11">
        <v>6.5000000000000002E-2</v>
      </c>
      <c r="G9" s="11">
        <v>6.5000000000000002E-2</v>
      </c>
    </row>
    <row r="11" spans="1:7" x14ac:dyDescent="0.25">
      <c r="A11" t="s">
        <v>37</v>
      </c>
    </row>
    <row r="12" spans="1:7" x14ac:dyDescent="0.25">
      <c r="A12" t="s">
        <v>25</v>
      </c>
      <c r="B12" s="3">
        <f>B5</f>
        <v>0</v>
      </c>
      <c r="C12" s="3">
        <f t="shared" ref="C12:G12" si="0">C5</f>
        <v>1</v>
      </c>
      <c r="D12" s="3">
        <f t="shared" si="0"/>
        <v>2</v>
      </c>
      <c r="E12" s="3">
        <f t="shared" si="0"/>
        <v>3</v>
      </c>
      <c r="F12" s="3">
        <f t="shared" si="0"/>
        <v>4</v>
      </c>
      <c r="G12" s="3">
        <f t="shared" si="0"/>
        <v>5</v>
      </c>
    </row>
    <row r="13" spans="1:7" x14ac:dyDescent="0.25">
      <c r="A13" t="s">
        <v>28</v>
      </c>
      <c r="C13" s="12">
        <f>(1+C8)*(1+C9)-1</f>
        <v>8.1500000000000128E-2</v>
      </c>
      <c r="D13" s="12">
        <f t="shared" ref="D13:G13" si="1">(1+D8)*(1+D9)-1</f>
        <v>8.454000000000006E-2</v>
      </c>
      <c r="E13" s="12">
        <f t="shared" si="1"/>
        <v>8.6500000000000021E-2</v>
      </c>
      <c r="F13" s="12">
        <f t="shared" si="1"/>
        <v>8.8430000000000009E-2</v>
      </c>
      <c r="G13" s="12">
        <f t="shared" si="1"/>
        <v>8.6300000000000043E-2</v>
      </c>
    </row>
    <row r="14" spans="1:7" x14ac:dyDescent="0.25">
      <c r="A14" t="s">
        <v>30</v>
      </c>
      <c r="C14" s="12">
        <f>(1+B14)*((1+C13))-1</f>
        <v>8.1500000000000128E-2</v>
      </c>
      <c r="D14" s="12">
        <f t="shared" ref="D14:G14" si="2">(1+C14)*((1+D13))-1</f>
        <v>0.17293001000000019</v>
      </c>
      <c r="E14" s="12">
        <f t="shared" si="2"/>
        <v>0.27438845586500027</v>
      </c>
      <c r="F14" s="12">
        <f t="shared" si="2"/>
        <v>0.38708262701714236</v>
      </c>
      <c r="G14" s="12">
        <f t="shared" si="2"/>
        <v>0.5067878577287217</v>
      </c>
    </row>
    <row r="15" spans="1:7" x14ac:dyDescent="0.25">
      <c r="A15" t="s">
        <v>31</v>
      </c>
      <c r="B15" s="13">
        <f>B6</f>
        <v>-100</v>
      </c>
      <c r="C15" s="13">
        <f>C7</f>
        <v>21</v>
      </c>
      <c r="D15" s="13">
        <f t="shared" ref="D15:G15" si="3">D7</f>
        <v>34</v>
      </c>
      <c r="E15" s="13">
        <f t="shared" si="3"/>
        <v>40</v>
      </c>
      <c r="F15" s="13">
        <f t="shared" si="3"/>
        <v>33</v>
      </c>
      <c r="G15" s="13">
        <f t="shared" si="3"/>
        <v>17</v>
      </c>
    </row>
    <row r="16" spans="1:7" x14ac:dyDescent="0.25">
      <c r="A16" t="s">
        <v>32</v>
      </c>
      <c r="B16" s="6">
        <f>B6</f>
        <v>-100</v>
      </c>
      <c r="C16" s="13">
        <f>C15/(1+C14)</f>
        <v>19.417475728155338</v>
      </c>
      <c r="D16" s="13">
        <f t="shared" ref="D16:G16" si="4">D15/(1+D14)</f>
        <v>28.98723684288715</v>
      </c>
      <c r="E16" s="13">
        <f t="shared" si="4"/>
        <v>31.387603847093636</v>
      </c>
      <c r="F16" s="13">
        <f t="shared" si="4"/>
        <v>23.790940321244587</v>
      </c>
      <c r="G16" s="13">
        <f t="shared" si="4"/>
        <v>11.282278333212211</v>
      </c>
    </row>
    <row r="17" spans="1:2" x14ac:dyDescent="0.25">
      <c r="A17" t="s">
        <v>21</v>
      </c>
      <c r="B17" s="16">
        <f>SUM(B16:G16)</f>
        <v>14.865535072592923</v>
      </c>
    </row>
    <row r="19" spans="1:2" x14ac:dyDescent="0.25">
      <c r="A19" t="s">
        <v>33</v>
      </c>
      <c r="B19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If Else Statement</vt:lpstr>
      <vt:lpstr>Nested If Statement</vt:lpstr>
      <vt:lpstr>And..Or</vt:lpstr>
      <vt:lpstr>For Loop</vt:lpstr>
      <vt:lpstr>Financial Modeling</vt:lpstr>
      <vt:lpstr>Financial Modeling 2</vt:lpstr>
      <vt:lpstr>CostOfNonSmartPhone</vt:lpstr>
      <vt:lpstr>CostOfPhone</vt:lpstr>
      <vt:lpstr>DataAndUnlimited</vt:lpstr>
      <vt:lpstr>DataOrUnlimited</vt:lpstr>
      <vt:lpstr>DiscountForFiveAndAbove</vt:lpstr>
      <vt:lpstr>DiscountForThirdAndFourth</vt:lpstr>
      <vt:lpstr>NoTextPlan</vt:lpstr>
      <vt:lpstr>OneThousandTextMessages</vt:lpstr>
      <vt:lpstr>PriceOfPhone</vt:lpstr>
      <vt:lpstr>sdfsd3423</vt:lpstr>
      <vt:lpstr>UnlimitedData</vt:lpstr>
      <vt:lpstr>UnlimitedTextMessages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D. Oglevee</dc:creator>
  <cp:lastModifiedBy>Oglevee, Daniel D.</cp:lastModifiedBy>
  <dcterms:created xsi:type="dcterms:W3CDTF">2012-01-28T16:40:33Z</dcterms:created>
  <dcterms:modified xsi:type="dcterms:W3CDTF">2020-11-09T20:44:46Z</dcterms:modified>
</cp:coreProperties>
</file>